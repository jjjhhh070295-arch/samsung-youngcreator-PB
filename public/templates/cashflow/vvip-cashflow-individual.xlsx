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현금흐름표" state="visible" r:id="rId4"/>
    <sheet sheetId="2" name="업로드용_키값" state="visible" r:id="rId5"/>
    <sheet sheetId="3" name="부록_기간별현금흐름" state="visible" r:id="rId6"/>
    <sheet sheetId="4" name="작성가이드" state="visible" r:id="rId7"/>
  </sheets>
  <calcPr calcId="171027"/>
</workbook>
</file>

<file path=xl/sharedStrings.xml><?xml version="1.0" encoding="utf-8"?>
<sst xmlns="http://schemas.openxmlformats.org/spreadsheetml/2006/main" count="440" uniqueCount="237">
  <si>
    <t>VVIP 개인 고객 현금흐름표</t>
  </si>
  <si>
    <t>개인 고객의 생활비, 세금 납부, 증여·상속·부동산 현금화 일정을 분리해 포트폴리오 유동성 버킷 산출에 사용합니다.</t>
  </si>
  <si>
    <t>1. 고객 기본정보</t>
  </si>
  <si>
    <t>고객명</t>
  </si>
  <si>
    <t/>
  </si>
  <si>
    <t>필수</t>
  </si>
  <si>
    <t>고객 유형</t>
  </si>
  <si>
    <t>개인</t>
  </si>
  <si>
    <t>개인/법인/개인사업자/법인-대표 연동</t>
  </si>
  <si>
    <t>담당 PB</t>
  </si>
  <si>
    <t>PB명</t>
  </si>
  <si>
    <t>작성 기준일</t>
  </si>
  <si>
    <t>2026-06-21</t>
  </si>
  <si>
    <t>YYYY-MM-DD</t>
  </si>
  <si>
    <t>총 금융자산(만원)</t>
  </si>
  <si>
    <t>상담 입력값</t>
  </si>
  <si>
    <t>연동 고객 ID</t>
  </si>
  <si>
    <t>법인↔대표 연결 시 입력</t>
  </si>
  <si>
    <t>지분율(%)</t>
  </si>
  <si>
    <t>법인 대표/최대주주 확인</t>
  </si>
  <si>
    <t>통장 분리 여부</t>
  </si>
  <si>
    <t>해당없음</t>
  </si>
  <si>
    <t>개인통장, CMA, 증권계좌, 연금계좌를 구분합니다.</t>
  </si>
  <si>
    <t>2. 재무목표</t>
  </si>
  <si>
    <t>목표명</t>
  </si>
  <si>
    <t>목표시점</t>
  </si>
  <si>
    <t>목표금액(만원)</t>
  </si>
  <si>
    <t>우선순위</t>
  </si>
  <si>
    <t>메모</t>
  </si>
  <si>
    <t>세금 납부 재원 확보</t>
  </si>
  <si>
    <t>2026-09</t>
  </si>
  <si>
    <t>상</t>
  </si>
  <si>
    <t>증여세/양도세 납부 전 현금화</t>
  </si>
  <si>
    <t>자녀 증여 실행</t>
  </si>
  <si>
    <t>2026-06</t>
  </si>
  <si>
    <t>증여세 별도 예치</t>
  </si>
  <si>
    <t>은퇴 현금흐름</t>
  </si>
  <si>
    <t>2031-12</t>
  </si>
  <si>
    <t>중</t>
  </si>
  <si>
    <t>월 인출 계획</t>
  </si>
  <si>
    <t>법인 운전자금 방어</t>
  </si>
  <si>
    <t>2026-12</t>
  </si>
  <si>
    <t>법인 고객만 상세 입력</t>
  </si>
  <si>
    <t>3. 현재 현금흐름</t>
  </si>
  <si>
    <t>일자(YYYY-MM)</t>
  </si>
  <si>
    <t>정기/일회</t>
  </si>
  <si>
    <t>항목명</t>
  </si>
  <si>
    <t>자금주체</t>
  </si>
  <si>
    <t>계좌유형</t>
  </si>
  <si>
    <t>유입/유출</t>
  </si>
  <si>
    <t>금액(만원)</t>
  </si>
  <si>
    <t>세무·회계 성격</t>
  </si>
  <si>
    <t>반복주기</t>
  </si>
  <si>
    <t>앱 반영(Y/N)</t>
  </si>
  <si>
    <t>2026-01</t>
  </si>
  <si>
    <t>정기</t>
  </si>
  <si>
    <t>근로소득</t>
  </si>
  <si>
    <t>개인 CMA</t>
  </si>
  <si>
    <t>유입</t>
  </si>
  <si>
    <t>소득/매출</t>
  </si>
  <si>
    <t>매월</t>
  </si>
  <si>
    <t>세전/세후 구분 메모</t>
  </si>
  <si>
    <t>Y</t>
  </si>
  <si>
    <t>생활비</t>
  </si>
  <si>
    <t>유출</t>
  </si>
  <si>
    <t>비용</t>
  </si>
  <si>
    <t>비용처리 확정 아님</t>
  </si>
  <si>
    <t>2026-03</t>
  </si>
  <si>
    <t>일회</t>
  </si>
  <si>
    <t>자녀학자금/교육비</t>
  </si>
  <si>
    <t>개인통장</t>
  </si>
  <si>
    <t>생활 이벤트</t>
  </si>
  <si>
    <t>가족 이벤트</t>
  </si>
  <si>
    <t>증여실행금액</t>
  </si>
  <si>
    <t>CMA</t>
  </si>
  <si>
    <t>증여</t>
  </si>
  <si>
    <t>세무 전문가 확인 필요</t>
  </si>
  <si>
    <t>증여세예상액</t>
  </si>
  <si>
    <t>세금</t>
  </si>
  <si>
    <t>상담용 추정</t>
  </si>
  <si>
    <t>부동산양도세예상액</t>
  </si>
  <si>
    <t>증권계좌</t>
  </si>
  <si>
    <t>4. 고액자산가 세금 납부 및 현금화 일정</t>
  </si>
  <si>
    <t>세금/이벤트</t>
  </si>
  <si>
    <t>기준일</t>
  </si>
  <si>
    <t>예상세액(만원)</t>
  </si>
  <si>
    <t>납부기한</t>
  </si>
  <si>
    <t>현금화 목표일</t>
  </si>
  <si>
    <t>준비상태</t>
  </si>
  <si>
    <t>증여세</t>
  </si>
  <si>
    <t>2026-06-30</t>
  </si>
  <si>
    <t>2026-09-30</t>
  </si>
  <si>
    <t>점검</t>
  </si>
  <si>
    <t>증여일 기준 3개월 이내</t>
  </si>
  <si>
    <t>상속세</t>
  </si>
  <si>
    <t>2026-02-28</t>
  </si>
  <si>
    <t>2026-08-31</t>
  </si>
  <si>
    <t>2026-07-31</t>
  </si>
  <si>
    <t>부족</t>
  </si>
  <si>
    <t>부동산 양도세</t>
  </si>
  <si>
    <t>2026-10-31</t>
  </si>
  <si>
    <t>2026-12-31</t>
  </si>
  <si>
    <t>2026-11-30</t>
  </si>
  <si>
    <t>양도월 말일부터 2개월 이내</t>
  </si>
  <si>
    <t>해외주식 양도세</t>
  </si>
  <si>
    <t>2026</t>
  </si>
  <si>
    <t>2027-05-31</t>
  </si>
  <si>
    <t>2027-04-30</t>
  </si>
  <si>
    <t>커버</t>
  </si>
  <si>
    <t>다음해 5월 신고</t>
  </si>
  <si>
    <t>법인세</t>
  </si>
  <si>
    <t>2027-03-31</t>
  </si>
  <si>
    <t>2027-02-28</t>
  </si>
  <si>
    <t>법인 고객</t>
  </si>
  <si>
    <t>5. 현재 보유자산 및 부채</t>
  </si>
  <si>
    <t>구분</t>
  </si>
  <si>
    <t>항목</t>
  </si>
  <si>
    <t>계좌/자산 위치</t>
  </si>
  <si>
    <t>현금성</t>
  </si>
  <si>
    <t>현재현금성자산</t>
  </si>
  <si>
    <t>CMA/MMF</t>
  </si>
  <si>
    <t>앱 업로드 시 현재 현금으로 인식</t>
  </si>
  <si>
    <t>금융투자</t>
  </si>
  <si>
    <t>국내주식</t>
  </si>
  <si>
    <t>평가손익 별도</t>
  </si>
  <si>
    <t>해외주식</t>
  </si>
  <si>
    <t>해외주식 양도세 점검</t>
  </si>
  <si>
    <t>부동산</t>
  </si>
  <si>
    <t>상가/주택</t>
  </si>
  <si>
    <t>실물자산</t>
  </si>
  <si>
    <t>양도세/보유세 별도</t>
  </si>
  <si>
    <t>부채</t>
  </si>
  <si>
    <t>대출잔액</t>
  </si>
  <si>
    <t>담보대출</t>
  </si>
  <si>
    <t>상환 스케줄 별도</t>
  </si>
  <si>
    <t>6. 입력 팁/작성 원칙</t>
  </si>
  <si>
    <t>입력 단위</t>
  </si>
  <si>
    <t>만원</t>
  </si>
  <si>
    <t>업로드용_키값 시트도 값(만원) 기준</t>
  </si>
  <si>
    <t>세무 판단</t>
  </si>
  <si>
    <t>세무·회계 확정 판단 금지, 전문가 확인 필요</t>
  </si>
  <si>
    <t>중복 방지</t>
  </si>
  <si>
    <t>동일 이벤트 중복 입력 금지</t>
  </si>
  <si>
    <t>앱 업로드</t>
  </si>
  <si>
    <t>업로드용_키값 시트를 CSV/XLSX로 저장하거나 전체 XLSX 업로드</t>
  </si>
  <si>
    <t>값(만원)</t>
  </si>
  <si>
    <t>납부일</t>
  </si>
  <si>
    <t>분류</t>
  </si>
  <si>
    <t>월소득</t>
  </si>
  <si>
    <t>상여 및 성과금</t>
  </si>
  <si>
    <t>금융소득</t>
  </si>
  <si>
    <t>월임대수입</t>
  </si>
  <si>
    <t>부수입</t>
  </si>
  <si>
    <t>월지출</t>
  </si>
  <si>
    <t>월세/관리비</t>
  </si>
  <si>
    <t>보험료 지출</t>
  </si>
  <si>
    <t>자녀학자금</t>
  </si>
  <si>
    <t>부모님 용돈</t>
  </si>
  <si>
    <t>차량비</t>
  </si>
  <si>
    <t>통신비</t>
  </si>
  <si>
    <t>경조사비</t>
  </si>
  <si>
    <t>2026-05</t>
  </si>
  <si>
    <t>휴가비용</t>
  </si>
  <si>
    <t>2026-08</t>
  </si>
  <si>
    <t>명절선물</t>
  </si>
  <si>
    <t>정기적금</t>
  </si>
  <si>
    <t>저축투자</t>
  </si>
  <si>
    <t>주택청약</t>
  </si>
  <si>
    <t>적립식 ETF</t>
  </si>
  <si>
    <t>연금저축</t>
  </si>
  <si>
    <t>IRP</t>
  </si>
  <si>
    <t>ISA</t>
  </si>
  <si>
    <t>2026-02</t>
  </si>
  <si>
    <t>비상금</t>
  </si>
  <si>
    <t>재산세</t>
  </si>
  <si>
    <t>2026-07</t>
  </si>
  <si>
    <t>종부세</t>
  </si>
  <si>
    <t>종합소득세</t>
  </si>
  <si>
    <t>2027-05</t>
  </si>
  <si>
    <t>지방소득세</t>
  </si>
  <si>
    <t>건강보험정산</t>
  </si>
  <si>
    <t>자동차세</t>
  </si>
  <si>
    <t>자산</t>
  </si>
  <si>
    <t>월원금상환</t>
  </si>
  <si>
    <t>부동산매각일</t>
  </si>
  <si>
    <t>2026-10</t>
  </si>
  <si>
    <t>세금일정</t>
  </si>
  <si>
    <t>증여예정일</t>
  </si>
  <si>
    <t>상속개시일</t>
  </si>
  <si>
    <t>상속세예상액</t>
  </si>
  <si>
    <t>해외주식매도연도</t>
  </si>
  <si>
    <t>해외주식양도세예상액</t>
  </si>
  <si>
    <t>IPO보호예수해제일</t>
  </si>
  <si>
    <t>2026-11-15</t>
  </si>
  <si>
    <t>2026-11</t>
  </si>
  <si>
    <t>M&amp;A클로징일</t>
  </si>
  <si>
    <t>엑싯현금화예비액</t>
  </si>
  <si>
    <t>개인 배당</t>
  </si>
  <si>
    <t>2026-04</t>
  </si>
  <si>
    <t>가족 생활비</t>
  </si>
  <si>
    <t>주택구입 계약금</t>
  </si>
  <si>
    <t>자녀 유학비</t>
  </si>
  <si>
    <t>개인 양도세 납부 예비</t>
  </si>
  <si>
    <t>단기채 예치</t>
  </si>
  <si>
    <t>MMF 세금 예비</t>
  </si>
  <si>
    <t>가족 증여 재원</t>
  </si>
  <si>
    <t>추가 상담 항목 1</t>
  </si>
  <si>
    <t>추가 상담 항목 2</t>
  </si>
  <si>
    <t>부록 · 기간별 현금흐름</t>
  </si>
  <si>
    <t>월별 유입·유출·저축/투자·세금 납부액을 입력하면 앱의 현금흐름 부록과 IPS 부록 표/차트에 반영됩니다. 금액 단위는 만원입니다.</t>
  </si>
  <si>
    <t>기간(YYYY-MM)</t>
  </si>
  <si>
    <t>유입(만원)</t>
  </si>
  <si>
    <t>유출(만원)</t>
  </si>
  <si>
    <t>저축/투자(만원)</t>
  </si>
  <si>
    <t>세금납부(만원)</t>
  </si>
  <si>
    <t>순현금흐름(만원)</t>
  </si>
  <si>
    <t>누적순현금흐름(만원)</t>
  </si>
  <si>
    <t>주요 이벤트/메모</t>
  </si>
  <si>
    <t>정상 월간 현금흐름</t>
  </si>
  <si>
    <t>배당/상여 유입월</t>
  </si>
  <si>
    <t>세금 납부월 - 현금화 재원 확인</t>
  </si>
  <si>
    <t>작성 원칙</t>
  </si>
  <si>
    <t>앱은 앱 반영(Y/N)이 Y인 행만 읽습니다. 세금/회계 확정 판단이 아니라 상담용 추정이며 세무 전문가 확인이 필요합니다.</t>
  </si>
  <si>
    <t>가이드</t>
  </si>
  <si>
    <t>목적</t>
  </si>
  <si>
    <t>작성 순서</t>
  </si>
  <si>
    <t>고객 기본정보 → 재무목표 → 현재 현금흐름 → 세금 납부 일정 → 보유자산/부채 → 업로드용_키값 확인</t>
  </si>
  <si>
    <t>업로드 규칙</t>
  </si>
  <si>
    <t>앱은 업로드용_키값 시트를 우선 읽고, 부록_기간별현금흐름 시트를 함께 읽어 현금흐름/IPS 부록 표와 차트에 반영합니다.</t>
  </si>
  <si>
    <t>앱 CashFlow 매핑</t>
  </si>
  <si>
    <t>항목→label, 값(만원)→amount, 납부일→date, 분류→category, 자금주체→entity, 계좌유형→accountType, 메모→taxAccountingNote</t>
  </si>
  <si>
    <t>기간별 부록 매핑</t>
  </si>
  <si>
    <t>기간→date, 유입/유출/저축/세금→amount, 주요 이벤트/메모→taxAccountingNote, 앱 반영(Y/N)→업로드 포함 여부</t>
  </si>
  <si>
    <t>세무·회계 유의</t>
  </si>
  <si>
    <t>본 양식은 PB 상담 보조용 추정 자료입니다. 실제 세액, 신고기한, 비용처리, 법인/개인 자금 이동은 세무 전문가 확인이 필요합니다.</t>
  </si>
  <si>
    <t>법인-대표 연동</t>
  </si>
  <si>
    <t>법인 배당 지급과 대표 개인 배당 유입은 양쪽에 입력하되 앱 반영/메모로 중복 여부를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</si>
</sst>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11827"/>
      <sz val="18"/>
    </font>
    <font>
      <color rgb="FF4B5563"/>
      <sz val="10"/>
    </font>
    <font>
      <b/>
      <color rgb="FF0F172A"/>
    </font>
    <font>
      <b/>
    </font>
    <font>
      <b/>
      <color rgb="FFFFFFFF"/>
    </font>
    <font>
      <b/>
      <color rgb="FF111827"/>
      <sz val="16"/>
    </font>
  </fonts>
  <fills count="6">
    <fill>
      <patternFill patternType="none"/>
    </fill>
    <fill>
      <patternFill patternType="gray125"/>
    </fill>
    <fill>
      <patternFill patternType="solid">
        <fgColor rgb="FFE8F1FF"/>
      </patternFill>
    </fill>
    <fill>
      <patternFill patternType="solid">
        <fgColor rgb="FFFFF3C4"/>
      </patternFill>
    </fill>
    <fill>
      <patternFill patternType="solid">
        <fgColor rgb="FF1F293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5" fillId="4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vertical="center" wrapText="1"/>
    </xf>
    <xf numFmtId="3" fontId="6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0" fillId="0" borderId="1" xfId="0" applyNumberFormat="1" applyBorder="1" applyAlignment="1">
      <alignment vertical="center" wrapText="1"/>
    </xf>
    <xf numFmtId="0" fontId="4" fillId="5" borderId="1" xfId="0" applyFont="1" applyFill="1" applyBorder="1"/>
    <xf numFmtId="3" fontId="0" fillId="5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4" customWidth="1"/>
    <col min="4" max="5" width="16" customWidth="1"/>
    <col min="6" max="6" width="12" customWidth="1"/>
    <col min="7" max="7" width="16" customWidth="1"/>
    <col min="8" max="8" width="20" customWidth="1"/>
    <col min="9" max="9" width="14" customWidth="1"/>
    <col min="10" max="10" width="30" customWidth="1"/>
    <col min="11" max="11" width="12" customWidth="1"/>
  </cols>
  <sheetData>
    <row r="1" ht="1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18" customHeight="1" spans="1:1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18" customHeight="1" spans="1:3" x14ac:dyDescent="0.25">
      <c r="A5" s="4" t="s">
        <v>3</v>
      </c>
      <c r="B5" s="5" t="s">
        <v>4</v>
      </c>
      <c r="C5" s="6" t="s">
        <v>5</v>
      </c>
    </row>
    <row r="6" ht="18" customHeight="1" spans="1:3" x14ac:dyDescent="0.25">
      <c r="A6" s="4" t="s">
        <v>6</v>
      </c>
      <c r="B6" s="5" t="s">
        <v>7</v>
      </c>
      <c r="C6" s="6" t="s">
        <v>8</v>
      </c>
    </row>
    <row r="7" ht="18" customHeight="1" spans="1:3" x14ac:dyDescent="0.25">
      <c r="A7" s="4" t="s">
        <v>9</v>
      </c>
      <c r="B7" s="5" t="s">
        <v>4</v>
      </c>
      <c r="C7" s="6" t="s">
        <v>10</v>
      </c>
    </row>
    <row r="8" ht="18" customHeight="1" spans="1:3" x14ac:dyDescent="0.25">
      <c r="A8" s="4" t="s">
        <v>11</v>
      </c>
      <c r="B8" s="5" t="s">
        <v>12</v>
      </c>
      <c r="C8" s="6" t="s">
        <v>13</v>
      </c>
    </row>
    <row r="9" ht="18" customHeight="1" spans="1:3" x14ac:dyDescent="0.25">
      <c r="A9" s="4" t="s">
        <v>14</v>
      </c>
      <c r="B9" s="5" t="s">
        <v>4</v>
      </c>
      <c r="C9" s="6" t="s">
        <v>15</v>
      </c>
    </row>
    <row r="10" ht="18" customHeight="1" spans="1:3" x14ac:dyDescent="0.25">
      <c r="A10" s="4" t="s">
        <v>16</v>
      </c>
      <c r="B10" s="5" t="s">
        <v>4</v>
      </c>
      <c r="C10" s="6" t="s">
        <v>17</v>
      </c>
    </row>
    <row r="11" ht="18" customHeight="1" spans="1:3" x14ac:dyDescent="0.25">
      <c r="A11" s="4" t="s">
        <v>18</v>
      </c>
      <c r="B11" s="5" t="s">
        <v>4</v>
      </c>
      <c r="C11" s="6" t="s">
        <v>19</v>
      </c>
    </row>
    <row r="12" ht="18" customHeight="1" spans="1:3" x14ac:dyDescent="0.25">
      <c r="A12" s="4" t="s">
        <v>20</v>
      </c>
      <c r="B12" s="5" t="s">
        <v>21</v>
      </c>
      <c r="C12" s="6" t="s">
        <v>22</v>
      </c>
    </row>
    <row r="14" ht="18" customHeight="1" spans="1:11" x14ac:dyDescent="0.25">
      <c r="A14" s="3" t="s">
        <v>23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18" customHeight="1" spans="1:5" x14ac:dyDescent="0.25">
      <c r="A15" s="7" t="s">
        <v>24</v>
      </c>
      <c r="B15" s="7" t="s">
        <v>25</v>
      </c>
      <c r="C15" s="7" t="s">
        <v>26</v>
      </c>
      <c r="D15" s="7" t="s">
        <v>27</v>
      </c>
      <c r="E15" s="7" t="s">
        <v>28</v>
      </c>
    </row>
    <row r="16" ht="18" customHeight="1" spans="1:5" x14ac:dyDescent="0.25">
      <c r="A16" s="6" t="s">
        <v>29</v>
      </c>
      <c r="B16" s="5" t="s">
        <v>30</v>
      </c>
      <c r="C16" s="5">
        <v>32000</v>
      </c>
      <c r="D16" s="5" t="s">
        <v>31</v>
      </c>
      <c r="E16" s="5" t="s">
        <v>32</v>
      </c>
    </row>
    <row r="17" ht="18" customHeight="1" spans="1:5" x14ac:dyDescent="0.25">
      <c r="A17" s="6" t="s">
        <v>33</v>
      </c>
      <c r="B17" s="5" t="s">
        <v>34</v>
      </c>
      <c r="C17" s="5">
        <v>200000</v>
      </c>
      <c r="D17" s="5" t="s">
        <v>31</v>
      </c>
      <c r="E17" s="5" t="s">
        <v>35</v>
      </c>
    </row>
    <row r="18" ht="18" customHeight="1" spans="1:5" x14ac:dyDescent="0.25">
      <c r="A18" s="6" t="s">
        <v>36</v>
      </c>
      <c r="B18" s="5" t="s">
        <v>37</v>
      </c>
      <c r="C18" s="5">
        <v>500000</v>
      </c>
      <c r="D18" s="5" t="s">
        <v>38</v>
      </c>
      <c r="E18" s="5" t="s">
        <v>39</v>
      </c>
    </row>
    <row r="19" ht="18" customHeight="1" spans="1:5" x14ac:dyDescent="0.25">
      <c r="A19" s="6" t="s">
        <v>40</v>
      </c>
      <c r="B19" s="5" t="s">
        <v>41</v>
      </c>
      <c r="C19" s="5">
        <v>100000</v>
      </c>
      <c r="D19" s="5" t="s">
        <v>38</v>
      </c>
      <c r="E19" s="5" t="s">
        <v>42</v>
      </c>
    </row>
    <row r="21" ht="18" customHeight="1" spans="1:11" x14ac:dyDescent="0.25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8" customHeight="1" spans="1:11" x14ac:dyDescent="0.25">
      <c r="A22" s="7" t="s">
        <v>44</v>
      </c>
      <c r="B22" s="7" t="s">
        <v>45</v>
      </c>
      <c r="C22" s="7" t="s">
        <v>46</v>
      </c>
      <c r="D22" s="7" t="s">
        <v>47</v>
      </c>
      <c r="E22" s="7" t="s">
        <v>48</v>
      </c>
      <c r="F22" s="7" t="s">
        <v>49</v>
      </c>
      <c r="G22" s="7" t="s">
        <v>50</v>
      </c>
      <c r="H22" s="7" t="s">
        <v>51</v>
      </c>
      <c r="I22" s="7" t="s">
        <v>52</v>
      </c>
      <c r="J22" s="7" t="s">
        <v>28</v>
      </c>
      <c r="K22" s="7" t="s">
        <v>53</v>
      </c>
    </row>
    <row r="23" ht="18" customHeight="1" spans="1:11" x14ac:dyDescent="0.25">
      <c r="A23" s="5" t="s">
        <v>54</v>
      </c>
      <c r="B23" s="5" t="s">
        <v>55</v>
      </c>
      <c r="C23" s="5" t="s">
        <v>56</v>
      </c>
      <c r="D23" s="5" t="s">
        <v>7</v>
      </c>
      <c r="E23" s="5" t="s">
        <v>57</v>
      </c>
      <c r="F23" s="5" t="s">
        <v>58</v>
      </c>
      <c r="G23" s="5">
        <v>2800</v>
      </c>
      <c r="H23" s="5" t="s">
        <v>59</v>
      </c>
      <c r="I23" s="5" t="s">
        <v>60</v>
      </c>
      <c r="J23" s="5" t="s">
        <v>61</v>
      </c>
      <c r="K23" s="5" t="s">
        <v>62</v>
      </c>
    </row>
    <row r="24" ht="18" customHeight="1" spans="1:11" x14ac:dyDescent="0.25">
      <c r="A24" s="5" t="s">
        <v>54</v>
      </c>
      <c r="B24" s="5" t="s">
        <v>55</v>
      </c>
      <c r="C24" s="5" t="s">
        <v>63</v>
      </c>
      <c r="D24" s="5" t="s">
        <v>7</v>
      </c>
      <c r="E24" s="5" t="s">
        <v>57</v>
      </c>
      <c r="F24" s="5" t="s">
        <v>64</v>
      </c>
      <c r="G24" s="5">
        <v>900</v>
      </c>
      <c r="H24" s="5" t="s">
        <v>65</v>
      </c>
      <c r="I24" s="5" t="s">
        <v>60</v>
      </c>
      <c r="J24" s="5" t="s">
        <v>66</v>
      </c>
      <c r="K24" s="5" t="s">
        <v>62</v>
      </c>
    </row>
    <row r="25" ht="18" customHeight="1" spans="1:11" x14ac:dyDescent="0.25">
      <c r="A25" s="5" t="s">
        <v>67</v>
      </c>
      <c r="B25" s="5" t="s">
        <v>68</v>
      </c>
      <c r="C25" s="5" t="s">
        <v>69</v>
      </c>
      <c r="D25" s="5" t="s">
        <v>7</v>
      </c>
      <c r="E25" s="5" t="s">
        <v>70</v>
      </c>
      <c r="F25" s="5" t="s">
        <v>64</v>
      </c>
      <c r="G25" s="5">
        <v>2000</v>
      </c>
      <c r="H25" s="5" t="s">
        <v>71</v>
      </c>
      <c r="I25" s="5" t="s">
        <v>68</v>
      </c>
      <c r="J25" s="5" t="s">
        <v>72</v>
      </c>
      <c r="K25" s="5" t="s">
        <v>62</v>
      </c>
    </row>
    <row r="26" ht="18" customHeight="1" spans="1:11" x14ac:dyDescent="0.25">
      <c r="A26" s="5" t="s">
        <v>34</v>
      </c>
      <c r="B26" s="5" t="s">
        <v>68</v>
      </c>
      <c r="C26" s="5" t="s">
        <v>73</v>
      </c>
      <c r="D26" s="5" t="s">
        <v>7</v>
      </c>
      <c r="E26" s="5" t="s">
        <v>74</v>
      </c>
      <c r="F26" s="5" t="s">
        <v>64</v>
      </c>
      <c r="G26" s="5">
        <v>200000</v>
      </c>
      <c r="H26" s="5" t="s">
        <v>75</v>
      </c>
      <c r="I26" s="5" t="s">
        <v>68</v>
      </c>
      <c r="J26" s="5" t="s">
        <v>76</v>
      </c>
      <c r="K26" s="5" t="s">
        <v>62</v>
      </c>
    </row>
    <row r="27" ht="18" customHeight="1" spans="1:11" x14ac:dyDescent="0.25">
      <c r="A27" s="5" t="s">
        <v>30</v>
      </c>
      <c r="B27" s="5" t="s">
        <v>68</v>
      </c>
      <c r="C27" s="5" t="s">
        <v>77</v>
      </c>
      <c r="D27" s="5" t="s">
        <v>7</v>
      </c>
      <c r="E27" s="5" t="s">
        <v>74</v>
      </c>
      <c r="F27" s="5" t="s">
        <v>64</v>
      </c>
      <c r="G27" s="5">
        <v>32000</v>
      </c>
      <c r="H27" s="5" t="s">
        <v>78</v>
      </c>
      <c r="I27" s="5" t="s">
        <v>68</v>
      </c>
      <c r="J27" s="5" t="s">
        <v>79</v>
      </c>
      <c r="K27" s="5" t="s">
        <v>62</v>
      </c>
    </row>
    <row r="28" ht="18" customHeight="1" spans="1:11" x14ac:dyDescent="0.25">
      <c r="A28" s="5" t="s">
        <v>41</v>
      </c>
      <c r="B28" s="5" t="s">
        <v>68</v>
      </c>
      <c r="C28" s="5" t="s">
        <v>80</v>
      </c>
      <c r="D28" s="5" t="s">
        <v>7</v>
      </c>
      <c r="E28" s="5" t="s">
        <v>81</v>
      </c>
      <c r="F28" s="5" t="s">
        <v>64</v>
      </c>
      <c r="G28" s="5">
        <v>45000</v>
      </c>
      <c r="H28" s="5" t="s">
        <v>78</v>
      </c>
      <c r="I28" s="5" t="s">
        <v>68</v>
      </c>
      <c r="J28" s="5" t="s">
        <v>79</v>
      </c>
      <c r="K28" s="5" t="s">
        <v>62</v>
      </c>
    </row>
    <row r="30" ht="18" customHeight="1" spans="1:11" x14ac:dyDescent="0.25">
      <c r="A30" s="3" t="s">
        <v>82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8" customHeight="1" spans="1:7" x14ac:dyDescent="0.25">
      <c r="A31" s="7" t="s">
        <v>83</v>
      </c>
      <c r="B31" s="7" t="s">
        <v>84</v>
      </c>
      <c r="C31" s="7" t="s">
        <v>85</v>
      </c>
      <c r="D31" s="7" t="s">
        <v>86</v>
      </c>
      <c r="E31" s="7" t="s">
        <v>87</v>
      </c>
      <c r="F31" s="7" t="s">
        <v>88</v>
      </c>
      <c r="G31" s="7" t="s">
        <v>28</v>
      </c>
    </row>
    <row r="32" ht="18" customHeight="1" spans="1:7" x14ac:dyDescent="0.25">
      <c r="A32" s="5" t="s">
        <v>89</v>
      </c>
      <c r="B32" s="5" t="s">
        <v>90</v>
      </c>
      <c r="C32" s="5">
        <v>32000</v>
      </c>
      <c r="D32" s="5" t="s">
        <v>91</v>
      </c>
      <c r="E32" s="5" t="s">
        <v>90</v>
      </c>
      <c r="F32" s="5" t="s">
        <v>92</v>
      </c>
      <c r="G32" s="5" t="s">
        <v>93</v>
      </c>
    </row>
    <row r="33" ht="18" customHeight="1" spans="1:7" x14ac:dyDescent="0.25">
      <c r="A33" s="5" t="s">
        <v>94</v>
      </c>
      <c r="B33" s="5" t="s">
        <v>95</v>
      </c>
      <c r="C33" s="5">
        <v>120000</v>
      </c>
      <c r="D33" s="5" t="s">
        <v>96</v>
      </c>
      <c r="E33" s="5" t="s">
        <v>97</v>
      </c>
      <c r="F33" s="5" t="s">
        <v>98</v>
      </c>
      <c r="G33" s="5" t="s">
        <v>79</v>
      </c>
    </row>
    <row r="34" ht="18" customHeight="1" spans="1:7" x14ac:dyDescent="0.25">
      <c r="A34" s="5" t="s">
        <v>99</v>
      </c>
      <c r="B34" s="5" t="s">
        <v>100</v>
      </c>
      <c r="C34" s="5">
        <v>45000</v>
      </c>
      <c r="D34" s="5" t="s">
        <v>101</v>
      </c>
      <c r="E34" s="5" t="s">
        <v>102</v>
      </c>
      <c r="F34" s="5" t="s">
        <v>92</v>
      </c>
      <c r="G34" s="5" t="s">
        <v>103</v>
      </c>
    </row>
    <row r="35" ht="18" customHeight="1" spans="1:7" x14ac:dyDescent="0.25">
      <c r="A35" s="5" t="s">
        <v>104</v>
      </c>
      <c r="B35" s="5" t="s">
        <v>105</v>
      </c>
      <c r="C35" s="5">
        <v>8000</v>
      </c>
      <c r="D35" s="5" t="s">
        <v>106</v>
      </c>
      <c r="E35" s="5" t="s">
        <v>107</v>
      </c>
      <c r="F35" s="5" t="s">
        <v>108</v>
      </c>
      <c r="G35" s="5" t="s">
        <v>109</v>
      </c>
    </row>
    <row r="36" ht="18" customHeight="1" spans="1:7" x14ac:dyDescent="0.25">
      <c r="A36" s="5" t="s">
        <v>110</v>
      </c>
      <c r="B36" s="5" t="s">
        <v>101</v>
      </c>
      <c r="C36" s="5">
        <v>0</v>
      </c>
      <c r="D36" s="5" t="s">
        <v>111</v>
      </c>
      <c r="E36" s="5" t="s">
        <v>112</v>
      </c>
      <c r="F36" s="5" t="s">
        <v>92</v>
      </c>
      <c r="G36" s="5" t="s">
        <v>113</v>
      </c>
    </row>
    <row r="38" ht="18" customHeight="1" spans="1:11" x14ac:dyDescent="0.25">
      <c r="A38" s="3" t="s">
        <v>114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8" customHeight="1" spans="1:5" x14ac:dyDescent="0.25">
      <c r="A39" s="7" t="s">
        <v>115</v>
      </c>
      <c r="B39" s="7" t="s">
        <v>116</v>
      </c>
      <c r="C39" s="7" t="s">
        <v>50</v>
      </c>
      <c r="D39" s="7" t="s">
        <v>117</v>
      </c>
      <c r="E39" s="7" t="s">
        <v>28</v>
      </c>
    </row>
    <row r="40" ht="18" customHeight="1" spans="1:5" x14ac:dyDescent="0.25">
      <c r="A40" s="5" t="s">
        <v>118</v>
      </c>
      <c r="B40" s="5" t="s">
        <v>119</v>
      </c>
      <c r="C40" s="5">
        <v>90000</v>
      </c>
      <c r="D40" s="5" t="s">
        <v>120</v>
      </c>
      <c r="E40" s="5" t="s">
        <v>121</v>
      </c>
    </row>
    <row r="41" ht="18" customHeight="1" spans="1:5" x14ac:dyDescent="0.25">
      <c r="A41" s="5" t="s">
        <v>122</v>
      </c>
      <c r="B41" s="5" t="s">
        <v>123</v>
      </c>
      <c r="C41" s="5">
        <v>120000</v>
      </c>
      <c r="D41" s="5" t="s">
        <v>81</v>
      </c>
      <c r="E41" s="5" t="s">
        <v>124</v>
      </c>
    </row>
    <row r="42" ht="18" customHeight="1" spans="1:5" x14ac:dyDescent="0.25">
      <c r="A42" s="5" t="s">
        <v>122</v>
      </c>
      <c r="B42" s="5" t="s">
        <v>125</v>
      </c>
      <c r="C42" s="5">
        <v>180000</v>
      </c>
      <c r="D42" s="5" t="s">
        <v>81</v>
      </c>
      <c r="E42" s="5" t="s">
        <v>126</v>
      </c>
    </row>
    <row r="43" ht="18" customHeight="1" spans="1:5" x14ac:dyDescent="0.25">
      <c r="A43" s="5" t="s">
        <v>127</v>
      </c>
      <c r="B43" s="5" t="s">
        <v>128</v>
      </c>
      <c r="C43" s="5">
        <v>700000</v>
      </c>
      <c r="D43" s="5" t="s">
        <v>129</v>
      </c>
      <c r="E43" s="5" t="s">
        <v>130</v>
      </c>
    </row>
    <row r="44" ht="18" customHeight="1" spans="1:5" x14ac:dyDescent="0.25">
      <c r="A44" s="5" t="s">
        <v>131</v>
      </c>
      <c r="B44" s="5" t="s">
        <v>132</v>
      </c>
      <c r="C44" s="5">
        <v>150000</v>
      </c>
      <c r="D44" s="5" t="s">
        <v>133</v>
      </c>
      <c r="E44" s="5" t="s">
        <v>134</v>
      </c>
    </row>
    <row r="46" ht="18" customHeight="1" spans="1:11" x14ac:dyDescent="0.25">
      <c r="A46" s="3" t="s">
        <v>135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8" customHeight="1" spans="1:3" x14ac:dyDescent="0.25">
      <c r="A47" s="4" t="s">
        <v>136</v>
      </c>
      <c r="B47" s="5" t="s">
        <v>137</v>
      </c>
      <c r="C47" s="6" t="s">
        <v>138</v>
      </c>
    </row>
    <row r="48" ht="18" customHeight="1" spans="1:3" x14ac:dyDescent="0.25">
      <c r="A48" s="4" t="s">
        <v>139</v>
      </c>
      <c r="B48" s="5" t="s">
        <v>79</v>
      </c>
      <c r="C48" s="6" t="s">
        <v>140</v>
      </c>
    </row>
    <row r="49" ht="18" customHeight="1" spans="1:3" x14ac:dyDescent="0.25">
      <c r="A49" s="4" t="s">
        <v>141</v>
      </c>
      <c r="B49" s="5" t="s">
        <v>142</v>
      </c>
      <c r="C49" s="6" t="s">
        <v>4</v>
      </c>
    </row>
    <row r="50" ht="18" customHeight="1" spans="1:3" x14ac:dyDescent="0.25">
      <c r="A50" s="4" t="s">
        <v>143</v>
      </c>
      <c r="B50" s="5" t="s">
        <v>144</v>
      </c>
      <c r="C50" s="6" t="s">
        <v>4</v>
      </c>
    </row>
  </sheetData>
  <mergeCells count="8">
    <mergeCell ref="A1:K1"/>
    <mergeCell ref="A2:K2"/>
    <mergeCell ref="A4:K4"/>
    <mergeCell ref="A14:K14"/>
    <mergeCell ref="A21:K21"/>
    <mergeCell ref="A30:K30"/>
    <mergeCell ref="A38:K38"/>
    <mergeCell ref="A46:K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style="8" customWidth="1"/>
    <col min="3" max="4" width="16" customWidth="1"/>
  </cols>
  <sheetData>
    <row r="1" spans="1:4" x14ac:dyDescent="0.25">
      <c r="A1" s="7" t="s">
        <v>116</v>
      </c>
      <c r="B1" s="9" t="s">
        <v>145</v>
      </c>
      <c r="C1" s="7" t="s">
        <v>146</v>
      </c>
      <c r="D1" s="7" t="s">
        <v>147</v>
      </c>
    </row>
    <row r="2" spans="1:4" x14ac:dyDescent="0.25">
      <c r="A2" s="5" t="s">
        <v>56</v>
      </c>
      <c r="B2" s="10">
        <v>2800</v>
      </c>
      <c r="C2" s="5" t="s">
        <v>54</v>
      </c>
      <c r="D2" s="5" t="s">
        <v>148</v>
      </c>
    </row>
    <row r="3" spans="1:4" x14ac:dyDescent="0.25">
      <c r="A3" s="5" t="s">
        <v>149</v>
      </c>
      <c r="B3" s="10">
        <v>6000</v>
      </c>
      <c r="C3" s="5" t="s">
        <v>41</v>
      </c>
      <c r="D3" s="5" t="s">
        <v>148</v>
      </c>
    </row>
    <row r="4" spans="1:4" x14ac:dyDescent="0.25">
      <c r="A4" s="5" t="s">
        <v>150</v>
      </c>
      <c r="B4" s="10">
        <v>2500</v>
      </c>
      <c r="C4" s="5" t="s">
        <v>41</v>
      </c>
      <c r="D4" s="5" t="s">
        <v>148</v>
      </c>
    </row>
    <row r="5" spans="1:4" x14ac:dyDescent="0.25">
      <c r="A5" s="5" t="s">
        <v>151</v>
      </c>
      <c r="B5" s="10">
        <v>1200</v>
      </c>
      <c r="C5" s="5" t="s">
        <v>54</v>
      </c>
      <c r="D5" s="5" t="s">
        <v>148</v>
      </c>
    </row>
    <row r="6" spans="1:4" x14ac:dyDescent="0.25">
      <c r="A6" s="5" t="s">
        <v>152</v>
      </c>
      <c r="B6" s="10">
        <v>300</v>
      </c>
      <c r="C6" s="5" t="s">
        <v>54</v>
      </c>
      <c r="D6" s="5" t="s">
        <v>148</v>
      </c>
    </row>
    <row r="7" spans="1:4" x14ac:dyDescent="0.25">
      <c r="A7" s="5" t="s">
        <v>63</v>
      </c>
      <c r="B7" s="10">
        <v>900</v>
      </c>
      <c r="C7" s="5" t="s">
        <v>54</v>
      </c>
      <c r="D7" s="5" t="s">
        <v>153</v>
      </c>
    </row>
    <row r="8" spans="1:4" x14ac:dyDescent="0.25">
      <c r="A8" s="5" t="s">
        <v>154</v>
      </c>
      <c r="B8" s="10">
        <v>350</v>
      </c>
      <c r="C8" s="5" t="s">
        <v>54</v>
      </c>
      <c r="D8" s="5" t="s">
        <v>153</v>
      </c>
    </row>
    <row r="9" spans="1:4" x14ac:dyDescent="0.25">
      <c r="A9" s="5" t="s">
        <v>155</v>
      </c>
      <c r="B9" s="10">
        <v>250</v>
      </c>
      <c r="C9" s="5" t="s">
        <v>54</v>
      </c>
      <c r="D9" s="5" t="s">
        <v>153</v>
      </c>
    </row>
    <row r="10" spans="1:4" x14ac:dyDescent="0.25">
      <c r="A10" s="5" t="s">
        <v>156</v>
      </c>
      <c r="B10" s="10">
        <v>2000</v>
      </c>
      <c r="C10" s="5" t="s">
        <v>67</v>
      </c>
      <c r="D10" s="5" t="s">
        <v>153</v>
      </c>
    </row>
    <row r="11" spans="1:4" x14ac:dyDescent="0.25">
      <c r="A11" s="5" t="s">
        <v>157</v>
      </c>
      <c r="B11" s="10">
        <v>300</v>
      </c>
      <c r="C11" s="5" t="s">
        <v>54</v>
      </c>
      <c r="D11" s="5" t="s">
        <v>153</v>
      </c>
    </row>
    <row r="12" spans="1:4" x14ac:dyDescent="0.25">
      <c r="A12" s="5" t="s">
        <v>158</v>
      </c>
      <c r="B12" s="10">
        <v>180</v>
      </c>
      <c r="C12" s="5" t="s">
        <v>54</v>
      </c>
      <c r="D12" s="5" t="s">
        <v>153</v>
      </c>
    </row>
    <row r="13" spans="1:4" x14ac:dyDescent="0.25">
      <c r="A13" s="5" t="s">
        <v>159</v>
      </c>
      <c r="B13" s="10">
        <v>60</v>
      </c>
      <c r="C13" s="5" t="s">
        <v>54</v>
      </c>
      <c r="D13" s="5" t="s">
        <v>153</v>
      </c>
    </row>
    <row r="14" spans="1:4" x14ac:dyDescent="0.25">
      <c r="A14" s="5" t="s">
        <v>160</v>
      </c>
      <c r="B14" s="10">
        <v>120</v>
      </c>
      <c r="C14" s="5" t="s">
        <v>161</v>
      </c>
      <c r="D14" s="5" t="s">
        <v>153</v>
      </c>
    </row>
    <row r="15" spans="1:4" x14ac:dyDescent="0.25">
      <c r="A15" s="5" t="s">
        <v>162</v>
      </c>
      <c r="B15" s="10">
        <v>1500</v>
      </c>
      <c r="C15" s="5" t="s">
        <v>163</v>
      </c>
      <c r="D15" s="5" t="s">
        <v>153</v>
      </c>
    </row>
    <row r="16" spans="1:4" x14ac:dyDescent="0.25">
      <c r="A16" s="5" t="s">
        <v>164</v>
      </c>
      <c r="B16" s="10">
        <v>500</v>
      </c>
      <c r="C16" s="5" t="s">
        <v>30</v>
      </c>
      <c r="D16" s="5" t="s">
        <v>153</v>
      </c>
    </row>
    <row r="17" spans="1:4" x14ac:dyDescent="0.25">
      <c r="A17" s="5" t="s">
        <v>165</v>
      </c>
      <c r="B17" s="10">
        <v>700</v>
      </c>
      <c r="C17" s="5" t="s">
        <v>54</v>
      </c>
      <c r="D17" s="5" t="s">
        <v>166</v>
      </c>
    </row>
    <row r="18" spans="1:4" x14ac:dyDescent="0.25">
      <c r="A18" s="5" t="s">
        <v>74</v>
      </c>
      <c r="B18" s="10">
        <v>1500</v>
      </c>
      <c r="C18" s="5" t="s">
        <v>54</v>
      </c>
      <c r="D18" s="5" t="s">
        <v>166</v>
      </c>
    </row>
    <row r="19" spans="1:4" x14ac:dyDescent="0.25">
      <c r="A19" s="5" t="s">
        <v>167</v>
      </c>
      <c r="B19" s="10">
        <v>50</v>
      </c>
      <c r="C19" s="5" t="s">
        <v>54</v>
      </c>
      <c r="D19" s="5" t="s">
        <v>166</v>
      </c>
    </row>
    <row r="20" spans="1:4" x14ac:dyDescent="0.25">
      <c r="A20" s="5" t="s">
        <v>168</v>
      </c>
      <c r="B20" s="10">
        <v>1000</v>
      </c>
      <c r="C20" s="5" t="s">
        <v>54</v>
      </c>
      <c r="D20" s="5" t="s">
        <v>166</v>
      </c>
    </row>
    <row r="21" spans="1:4" x14ac:dyDescent="0.25">
      <c r="A21" s="5" t="s">
        <v>169</v>
      </c>
      <c r="B21" s="10">
        <v>150</v>
      </c>
      <c r="C21" s="5" t="s">
        <v>54</v>
      </c>
      <c r="D21" s="5" t="s">
        <v>166</v>
      </c>
    </row>
    <row r="22" spans="1:4" x14ac:dyDescent="0.25">
      <c r="A22" s="5" t="s">
        <v>170</v>
      </c>
      <c r="B22" s="10">
        <v>100</v>
      </c>
      <c r="C22" s="5" t="s">
        <v>54</v>
      </c>
      <c r="D22" s="5" t="s">
        <v>166</v>
      </c>
    </row>
    <row r="23" spans="1:4" x14ac:dyDescent="0.25">
      <c r="A23" s="5" t="s">
        <v>171</v>
      </c>
      <c r="B23" s="10">
        <v>200</v>
      </c>
      <c r="C23" s="5" t="s">
        <v>54</v>
      </c>
      <c r="D23" s="5" t="s">
        <v>166</v>
      </c>
    </row>
    <row r="24" spans="1:4" x14ac:dyDescent="0.25">
      <c r="A24" s="5" t="s">
        <v>123</v>
      </c>
      <c r="B24" s="10">
        <v>2500</v>
      </c>
      <c r="C24" s="5" t="s">
        <v>172</v>
      </c>
      <c r="D24" s="5" t="s">
        <v>166</v>
      </c>
    </row>
    <row r="25" spans="1:4" x14ac:dyDescent="0.25">
      <c r="A25" s="5" t="s">
        <v>125</v>
      </c>
      <c r="B25" s="10">
        <v>3000</v>
      </c>
      <c r="C25" s="5" t="s">
        <v>172</v>
      </c>
      <c r="D25" s="5" t="s">
        <v>166</v>
      </c>
    </row>
    <row r="26" spans="1:4" x14ac:dyDescent="0.25">
      <c r="A26" s="5" t="s">
        <v>173</v>
      </c>
      <c r="B26" s="10">
        <v>500</v>
      </c>
      <c r="C26" s="5" t="s">
        <v>54</v>
      </c>
      <c r="D26" s="5" t="s">
        <v>166</v>
      </c>
    </row>
    <row r="27" spans="1:4" x14ac:dyDescent="0.25">
      <c r="A27" s="5" t="s">
        <v>174</v>
      </c>
      <c r="B27" s="10">
        <v>1800</v>
      </c>
      <c r="C27" s="5" t="s">
        <v>175</v>
      </c>
      <c r="D27" s="5" t="s">
        <v>78</v>
      </c>
    </row>
    <row r="28" spans="1:4" x14ac:dyDescent="0.25">
      <c r="A28" s="5" t="s">
        <v>176</v>
      </c>
      <c r="B28" s="10">
        <v>6500</v>
      </c>
      <c r="C28" s="5" t="s">
        <v>41</v>
      </c>
      <c r="D28" s="5" t="s">
        <v>78</v>
      </c>
    </row>
    <row r="29" spans="1:4" x14ac:dyDescent="0.25">
      <c r="A29" s="5" t="s">
        <v>177</v>
      </c>
      <c r="B29" s="10">
        <v>5200</v>
      </c>
      <c r="C29" s="5" t="s">
        <v>178</v>
      </c>
      <c r="D29" s="5" t="s">
        <v>78</v>
      </c>
    </row>
    <row r="30" spans="1:4" x14ac:dyDescent="0.25">
      <c r="A30" s="5" t="s">
        <v>179</v>
      </c>
      <c r="B30" s="10">
        <v>520</v>
      </c>
      <c r="C30" s="5" t="s">
        <v>178</v>
      </c>
      <c r="D30" s="5" t="s">
        <v>78</v>
      </c>
    </row>
    <row r="31" spans="1:4" x14ac:dyDescent="0.25">
      <c r="A31" s="5" t="s">
        <v>180</v>
      </c>
      <c r="B31" s="10">
        <v>900</v>
      </c>
      <c r="C31" s="5" t="s">
        <v>178</v>
      </c>
      <c r="D31" s="5" t="s">
        <v>78</v>
      </c>
    </row>
    <row r="32" spans="1:4" x14ac:dyDescent="0.25">
      <c r="A32" s="5" t="s">
        <v>181</v>
      </c>
      <c r="B32" s="10">
        <v>120</v>
      </c>
      <c r="C32" s="5" t="s">
        <v>34</v>
      </c>
      <c r="D32" s="5" t="s">
        <v>78</v>
      </c>
    </row>
    <row r="33" spans="1:4" x14ac:dyDescent="0.25">
      <c r="A33" s="5" t="s">
        <v>119</v>
      </c>
      <c r="B33" s="10">
        <v>90000</v>
      </c>
      <c r="C33" s="5" t="s">
        <v>54</v>
      </c>
      <c r="D33" s="5" t="s">
        <v>182</v>
      </c>
    </row>
    <row r="34" spans="1:4" x14ac:dyDescent="0.25">
      <c r="A34" s="5" t="s">
        <v>132</v>
      </c>
      <c r="B34" s="10">
        <v>150000</v>
      </c>
      <c r="C34" s="5" t="s">
        <v>54</v>
      </c>
      <c r="D34" s="5" t="s">
        <v>131</v>
      </c>
    </row>
    <row r="35" spans="1:4" x14ac:dyDescent="0.25">
      <c r="A35" s="5" t="s">
        <v>183</v>
      </c>
      <c r="B35" s="10">
        <v>1200</v>
      </c>
      <c r="C35" s="5" t="s">
        <v>54</v>
      </c>
      <c r="D35" s="5" t="s">
        <v>131</v>
      </c>
    </row>
    <row r="36" spans="1:4" x14ac:dyDescent="0.25">
      <c r="A36" s="5" t="s">
        <v>184</v>
      </c>
      <c r="B36" s="10" t="s">
        <v>100</v>
      </c>
      <c r="C36" s="5" t="s">
        <v>185</v>
      </c>
      <c r="D36" s="5" t="s">
        <v>186</v>
      </c>
    </row>
    <row r="37" spans="1:4" x14ac:dyDescent="0.25">
      <c r="A37" s="5" t="s">
        <v>80</v>
      </c>
      <c r="B37" s="10">
        <v>45000</v>
      </c>
      <c r="C37" s="5" t="s">
        <v>41</v>
      </c>
      <c r="D37" s="5" t="s">
        <v>186</v>
      </c>
    </row>
    <row r="38" spans="1:4" x14ac:dyDescent="0.25">
      <c r="A38" s="5" t="s">
        <v>187</v>
      </c>
      <c r="B38" s="10" t="s">
        <v>90</v>
      </c>
      <c r="C38" s="5" t="s">
        <v>34</v>
      </c>
      <c r="D38" s="5" t="s">
        <v>186</v>
      </c>
    </row>
    <row r="39" spans="1:4" x14ac:dyDescent="0.25">
      <c r="A39" s="5" t="s">
        <v>73</v>
      </c>
      <c r="B39" s="10">
        <v>200000</v>
      </c>
      <c r="C39" s="5" t="s">
        <v>34</v>
      </c>
      <c r="D39" s="5" t="s">
        <v>186</v>
      </c>
    </row>
    <row r="40" spans="1:4" x14ac:dyDescent="0.25">
      <c r="A40" s="5" t="s">
        <v>77</v>
      </c>
      <c r="B40" s="10">
        <v>32000</v>
      </c>
      <c r="C40" s="5" t="s">
        <v>30</v>
      </c>
      <c r="D40" s="5" t="s">
        <v>186</v>
      </c>
    </row>
    <row r="41" spans="1:4" x14ac:dyDescent="0.25">
      <c r="A41" s="5" t="s">
        <v>188</v>
      </c>
      <c r="B41" s="10" t="s">
        <v>95</v>
      </c>
      <c r="C41" s="5" t="s">
        <v>172</v>
      </c>
      <c r="D41" s="5" t="s">
        <v>186</v>
      </c>
    </row>
    <row r="42" spans="1:4" x14ac:dyDescent="0.25">
      <c r="A42" s="5" t="s">
        <v>189</v>
      </c>
      <c r="B42" s="10">
        <v>120000</v>
      </c>
      <c r="C42" s="5" t="s">
        <v>163</v>
      </c>
      <c r="D42" s="5" t="s">
        <v>186</v>
      </c>
    </row>
    <row r="43" spans="1:4" x14ac:dyDescent="0.25">
      <c r="A43" s="5" t="s">
        <v>190</v>
      </c>
      <c r="B43" s="10">
        <v>2026</v>
      </c>
      <c r="C43" s="5" t="s">
        <v>41</v>
      </c>
      <c r="D43" s="5" t="s">
        <v>186</v>
      </c>
    </row>
    <row r="44" spans="1:4" x14ac:dyDescent="0.25">
      <c r="A44" s="5" t="s">
        <v>191</v>
      </c>
      <c r="B44" s="10">
        <v>8000</v>
      </c>
      <c r="C44" s="5" t="s">
        <v>178</v>
      </c>
      <c r="D44" s="5" t="s">
        <v>186</v>
      </c>
    </row>
    <row r="45" spans="1:4" x14ac:dyDescent="0.25">
      <c r="A45" s="5" t="s">
        <v>192</v>
      </c>
      <c r="B45" s="10" t="s">
        <v>193</v>
      </c>
      <c r="C45" s="5" t="s">
        <v>194</v>
      </c>
      <c r="D45" s="5" t="s">
        <v>186</v>
      </c>
    </row>
    <row r="46" spans="1:4" x14ac:dyDescent="0.25">
      <c r="A46" s="5" t="s">
        <v>195</v>
      </c>
      <c r="B46" s="10" t="s">
        <v>91</v>
      </c>
      <c r="C46" s="5" t="s">
        <v>30</v>
      </c>
      <c r="D46" s="5" t="s">
        <v>186</v>
      </c>
    </row>
    <row r="47" spans="1:4" x14ac:dyDescent="0.25">
      <c r="A47" s="5" t="s">
        <v>196</v>
      </c>
      <c r="B47" s="10">
        <v>60000</v>
      </c>
      <c r="C47" s="5" t="s">
        <v>30</v>
      </c>
      <c r="D47" s="5" t="s">
        <v>186</v>
      </c>
    </row>
    <row r="48" spans="1:4" x14ac:dyDescent="0.25">
      <c r="A48" s="5" t="s">
        <v>197</v>
      </c>
      <c r="B48" s="10">
        <v>15000</v>
      </c>
      <c r="C48" s="5" t="s">
        <v>198</v>
      </c>
      <c r="D48" s="5" t="s">
        <v>148</v>
      </c>
    </row>
    <row r="49" spans="1:4" x14ac:dyDescent="0.25">
      <c r="A49" s="5" t="s">
        <v>199</v>
      </c>
      <c r="B49" s="10">
        <v>1800</v>
      </c>
      <c r="C49" s="5" t="s">
        <v>54</v>
      </c>
      <c r="D49" s="5" t="s">
        <v>153</v>
      </c>
    </row>
    <row r="50" spans="1:4" x14ac:dyDescent="0.25">
      <c r="A50" s="5" t="s">
        <v>200</v>
      </c>
      <c r="B50" s="10">
        <v>80000</v>
      </c>
      <c r="C50" s="5" t="s">
        <v>161</v>
      </c>
      <c r="D50" s="5" t="s">
        <v>153</v>
      </c>
    </row>
    <row r="51" spans="1:4" x14ac:dyDescent="0.25">
      <c r="A51" s="5" t="s">
        <v>201</v>
      </c>
      <c r="B51" s="10">
        <v>30000</v>
      </c>
      <c r="C51" s="5" t="s">
        <v>163</v>
      </c>
      <c r="D51" s="5" t="s">
        <v>153</v>
      </c>
    </row>
    <row r="52" spans="1:4" x14ac:dyDescent="0.25">
      <c r="A52" s="5" t="s">
        <v>202</v>
      </c>
      <c r="B52" s="10">
        <v>22000</v>
      </c>
      <c r="C52" s="5" t="s">
        <v>194</v>
      </c>
      <c r="D52" s="5" t="s">
        <v>78</v>
      </c>
    </row>
    <row r="53" spans="1:4" x14ac:dyDescent="0.25">
      <c r="A53" s="5" t="s">
        <v>203</v>
      </c>
      <c r="B53" s="10">
        <v>20000</v>
      </c>
      <c r="C53" s="5" t="s">
        <v>172</v>
      </c>
      <c r="D53" s="5" t="s">
        <v>166</v>
      </c>
    </row>
    <row r="54" spans="1:4" x14ac:dyDescent="0.25">
      <c r="A54" s="5" t="s">
        <v>204</v>
      </c>
      <c r="B54" s="10">
        <v>18000</v>
      </c>
      <c r="C54" s="5" t="s">
        <v>67</v>
      </c>
      <c r="D54" s="5" t="s">
        <v>166</v>
      </c>
    </row>
    <row r="55" spans="1:4" x14ac:dyDescent="0.25">
      <c r="A55" s="5" t="s">
        <v>205</v>
      </c>
      <c r="B55" s="10">
        <v>50000</v>
      </c>
      <c r="C55" s="5" t="s">
        <v>34</v>
      </c>
      <c r="D55" s="5" t="s">
        <v>186</v>
      </c>
    </row>
    <row r="56" spans="1:4" x14ac:dyDescent="0.25">
      <c r="A56" s="5" t="s">
        <v>206</v>
      </c>
      <c r="B56" s="10">
        <v>0</v>
      </c>
      <c r="C56" s="5" t="s">
        <v>54</v>
      </c>
      <c r="D56" s="5" t="s">
        <v>153</v>
      </c>
    </row>
    <row r="57" spans="1:4" x14ac:dyDescent="0.25">
      <c r="A57" s="5" t="s">
        <v>207</v>
      </c>
      <c r="B57" s="10">
        <v>1000</v>
      </c>
      <c r="C57" s="5" t="s">
        <v>54</v>
      </c>
      <c r="D57" s="5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style="8" customWidth="1"/>
    <col min="4" max="4" width="16" style="8" customWidth="1"/>
    <col min="5" max="5" width="14" style="8" customWidth="1"/>
    <col min="6" max="6" width="18" style="8" customWidth="1"/>
    <col min="7" max="7" width="20" style="8" customWidth="1"/>
    <col min="8" max="8" width="34" customWidth="1"/>
    <col min="9" max="9" width="12" customWidth="1"/>
  </cols>
  <sheetData>
    <row r="1" spans="1:9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</row>
    <row r="4" spans="1:9" x14ac:dyDescent="0.25">
      <c r="A4" s="7" t="s">
        <v>210</v>
      </c>
      <c r="B4" s="9" t="s">
        <v>211</v>
      </c>
      <c r="C4" s="9" t="s">
        <v>212</v>
      </c>
      <c r="D4" s="9" t="s">
        <v>213</v>
      </c>
      <c r="E4" s="9" t="s">
        <v>214</v>
      </c>
      <c r="F4" s="9" t="s">
        <v>215</v>
      </c>
      <c r="G4" s="9" t="s">
        <v>216</v>
      </c>
      <c r="H4" s="7" t="s">
        <v>217</v>
      </c>
      <c r="I4" s="7" t="s">
        <v>53</v>
      </c>
    </row>
    <row r="5" spans="1:9" x14ac:dyDescent="0.25">
      <c r="A5" s="5" t="s">
        <v>54</v>
      </c>
      <c r="B5" s="10">
        <v>4200</v>
      </c>
      <c r="C5" s="10">
        <v>1700</v>
      </c>
      <c r="D5" s="10">
        <v>4600</v>
      </c>
      <c r="E5" s="10">
        <v>0</v>
      </c>
      <c r="F5" s="13">
        <f>B5-C5-D5-E5</f>
        <v>-2100</v>
      </c>
      <c r="G5" s="13">
        <f>F5</f>
        <v>-2100</v>
      </c>
      <c r="H5" s="5" t="s">
        <v>218</v>
      </c>
      <c r="I5" s="5" t="s">
        <v>62</v>
      </c>
    </row>
    <row r="6" spans="1:9" x14ac:dyDescent="0.25">
      <c r="A6" s="5" t="s">
        <v>172</v>
      </c>
      <c r="B6" s="10">
        <v>4200</v>
      </c>
      <c r="C6" s="10">
        <v>1700</v>
      </c>
      <c r="D6" s="10">
        <v>2600</v>
      </c>
      <c r="E6" s="10">
        <v>0</v>
      </c>
      <c r="F6" s="13">
        <f>B6-C6-D6-E6</f>
        <v>-100</v>
      </c>
      <c r="G6" s="13">
        <f>G5+F6</f>
        <v>-2200</v>
      </c>
      <c r="H6" s="5" t="s">
        <v>218</v>
      </c>
      <c r="I6" s="5" t="s">
        <v>62</v>
      </c>
    </row>
    <row r="7" spans="1:9" x14ac:dyDescent="0.25">
      <c r="A7" s="5" t="s">
        <v>67</v>
      </c>
      <c r="B7" s="10">
        <v>4200</v>
      </c>
      <c r="C7" s="10">
        <v>3700</v>
      </c>
      <c r="D7" s="10">
        <v>2600</v>
      </c>
      <c r="E7" s="10">
        <v>0</v>
      </c>
      <c r="F7" s="13">
        <f>B7-C7-D7-E7</f>
        <v>-2100</v>
      </c>
      <c r="G7" s="13">
        <f>G6+F7</f>
        <v>-4300</v>
      </c>
      <c r="H7" s="5" t="s">
        <v>218</v>
      </c>
      <c r="I7" s="5" t="s">
        <v>62</v>
      </c>
    </row>
    <row r="8" spans="1:9" x14ac:dyDescent="0.25">
      <c r="A8" s="5" t="s">
        <v>198</v>
      </c>
      <c r="B8" s="10">
        <v>39200</v>
      </c>
      <c r="C8" s="10">
        <v>1700</v>
      </c>
      <c r="D8" s="10">
        <v>4600</v>
      </c>
      <c r="E8" s="10">
        <v>0</v>
      </c>
      <c r="F8" s="13">
        <f>B8-C8-D8-E8</f>
        <v>32900</v>
      </c>
      <c r="G8" s="13">
        <f>G7+F8</f>
        <v>28600</v>
      </c>
      <c r="H8" s="5" t="s">
        <v>219</v>
      </c>
      <c r="I8" s="5" t="s">
        <v>62</v>
      </c>
    </row>
    <row r="9" spans="1:9" x14ac:dyDescent="0.25">
      <c r="A9" s="5" t="s">
        <v>161</v>
      </c>
      <c r="B9" s="10">
        <v>4200</v>
      </c>
      <c r="C9" s="10">
        <v>1700</v>
      </c>
      <c r="D9" s="10">
        <v>2600</v>
      </c>
      <c r="E9" s="10">
        <v>5200</v>
      </c>
      <c r="F9" s="13">
        <f>B9-C9-D9-E9</f>
        <v>-5300</v>
      </c>
      <c r="G9" s="13">
        <f>G8+F9</f>
        <v>23300</v>
      </c>
      <c r="H9" s="5" t="s">
        <v>220</v>
      </c>
      <c r="I9" s="5" t="s">
        <v>62</v>
      </c>
    </row>
    <row r="10" spans="1:9" x14ac:dyDescent="0.25">
      <c r="A10" s="5" t="s">
        <v>34</v>
      </c>
      <c r="B10" s="10">
        <v>4200</v>
      </c>
      <c r="C10" s="10">
        <v>1700</v>
      </c>
      <c r="D10" s="10">
        <v>2600</v>
      </c>
      <c r="E10" s="10">
        <v>0</v>
      </c>
      <c r="F10" s="13">
        <f>B10-C10-D10-E10</f>
        <v>-100</v>
      </c>
      <c r="G10" s="13">
        <f>G9+F10</f>
        <v>23200</v>
      </c>
      <c r="H10" s="5" t="s">
        <v>218</v>
      </c>
      <c r="I10" s="5" t="s">
        <v>62</v>
      </c>
    </row>
    <row r="11" spans="1:9" x14ac:dyDescent="0.25">
      <c r="A11" s="5" t="s">
        <v>175</v>
      </c>
      <c r="B11" s="10">
        <v>4200</v>
      </c>
      <c r="C11" s="10">
        <v>1700</v>
      </c>
      <c r="D11" s="10">
        <v>4600</v>
      </c>
      <c r="E11" s="10">
        <v>900</v>
      </c>
      <c r="F11" s="13">
        <f>B11-C11-D11-E11</f>
        <v>-3000</v>
      </c>
      <c r="G11" s="13">
        <f>G10+F11</f>
        <v>20200</v>
      </c>
      <c r="H11" s="5" t="s">
        <v>220</v>
      </c>
      <c r="I11" s="5" t="s">
        <v>62</v>
      </c>
    </row>
    <row r="12" spans="1:9" x14ac:dyDescent="0.25">
      <c r="A12" s="5" t="s">
        <v>163</v>
      </c>
      <c r="B12" s="10">
        <v>4200</v>
      </c>
      <c r="C12" s="10">
        <v>3200</v>
      </c>
      <c r="D12" s="10">
        <v>2600</v>
      </c>
      <c r="E12" s="10">
        <v>0</v>
      </c>
      <c r="F12" s="13">
        <f>B12-C12-D12-E12</f>
        <v>-1600</v>
      </c>
      <c r="G12" s="13">
        <f>G11+F12</f>
        <v>18600</v>
      </c>
      <c r="H12" s="5" t="s">
        <v>218</v>
      </c>
      <c r="I12" s="5" t="s">
        <v>62</v>
      </c>
    </row>
    <row r="13" spans="1:9" x14ac:dyDescent="0.25">
      <c r="A13" s="5" t="s">
        <v>30</v>
      </c>
      <c r="B13" s="10">
        <v>4200</v>
      </c>
      <c r="C13" s="10">
        <v>1700</v>
      </c>
      <c r="D13" s="10">
        <v>2600</v>
      </c>
      <c r="E13" s="10">
        <v>32000</v>
      </c>
      <c r="F13" s="13">
        <f>B13-C13-D13-E13</f>
        <v>-32100</v>
      </c>
      <c r="G13" s="13">
        <f>G12+F13</f>
        <v>-13500</v>
      </c>
      <c r="H13" s="5" t="s">
        <v>220</v>
      </c>
      <c r="I13" s="5" t="s">
        <v>62</v>
      </c>
    </row>
    <row r="14" spans="1:9" x14ac:dyDescent="0.25">
      <c r="A14" s="5" t="s">
        <v>185</v>
      </c>
      <c r="B14" s="10">
        <v>4200</v>
      </c>
      <c r="C14" s="10">
        <v>1700</v>
      </c>
      <c r="D14" s="10">
        <v>4600</v>
      </c>
      <c r="E14" s="10">
        <v>0</v>
      </c>
      <c r="F14" s="13">
        <f>B14-C14-D14-E14</f>
        <v>-2100</v>
      </c>
      <c r="G14" s="13">
        <f>G13+F14</f>
        <v>-15600</v>
      </c>
      <c r="H14" s="5" t="s">
        <v>218</v>
      </c>
      <c r="I14" s="5" t="s">
        <v>62</v>
      </c>
    </row>
    <row r="15" spans="1:9" x14ac:dyDescent="0.25">
      <c r="A15" s="5" t="s">
        <v>194</v>
      </c>
      <c r="B15" s="10">
        <v>4200</v>
      </c>
      <c r="C15" s="10">
        <v>1700</v>
      </c>
      <c r="D15" s="10">
        <v>2600</v>
      </c>
      <c r="E15" s="10">
        <v>0</v>
      </c>
      <c r="F15" s="13">
        <f>B15-C15-D15-E15</f>
        <v>-100</v>
      </c>
      <c r="G15" s="13">
        <f>G14+F15</f>
        <v>-15700</v>
      </c>
      <c r="H15" s="5" t="s">
        <v>218</v>
      </c>
      <c r="I15" s="5" t="s">
        <v>62</v>
      </c>
    </row>
    <row r="16" spans="1:9" x14ac:dyDescent="0.25">
      <c r="A16" s="5" t="s">
        <v>41</v>
      </c>
      <c r="B16" s="10">
        <v>10200</v>
      </c>
      <c r="C16" s="10">
        <v>1700</v>
      </c>
      <c r="D16" s="10">
        <v>2600</v>
      </c>
      <c r="E16" s="10">
        <v>6500</v>
      </c>
      <c r="F16" s="13">
        <f>B16-C16-D16-E16</f>
        <v>-600</v>
      </c>
      <c r="G16" s="13">
        <f>G15+F16</f>
        <v>-16300</v>
      </c>
      <c r="H16" s="5" t="s">
        <v>220</v>
      </c>
      <c r="I16" s="5" t="s">
        <v>62</v>
      </c>
    </row>
    <row r="19" spans="1:2" x14ac:dyDescent="0.25">
      <c r="A19" s="14" t="s">
        <v>221</v>
      </c>
      <c r="B19" s="15" t="s">
        <v>222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82" customWidth="1"/>
  </cols>
  <sheetData>
    <row r="1" spans="1:2" x14ac:dyDescent="0.25">
      <c r="A1" s="7" t="s">
        <v>115</v>
      </c>
      <c r="B1" s="7" t="s">
        <v>223</v>
      </c>
    </row>
    <row r="2" spans="1:2" x14ac:dyDescent="0.25">
      <c r="A2" s="6" t="s">
        <v>224</v>
      </c>
      <c r="B2" s="6" t="s">
        <v>1</v>
      </c>
    </row>
    <row r="3" spans="1:2" x14ac:dyDescent="0.25">
      <c r="A3" s="6" t="s">
        <v>225</v>
      </c>
      <c r="B3" s="6" t="s">
        <v>226</v>
      </c>
    </row>
    <row r="4" spans="1:2" x14ac:dyDescent="0.25">
      <c r="A4" s="6" t="s">
        <v>227</v>
      </c>
      <c r="B4" s="6" t="s">
        <v>228</v>
      </c>
    </row>
    <row r="5" spans="1:2" x14ac:dyDescent="0.25">
      <c r="A5" s="6" t="s">
        <v>229</v>
      </c>
      <c r="B5" s="6" t="s">
        <v>230</v>
      </c>
    </row>
    <row r="6" spans="1:2" x14ac:dyDescent="0.25">
      <c r="A6" s="6" t="s">
        <v>231</v>
      </c>
      <c r="B6" s="6" t="s">
        <v>232</v>
      </c>
    </row>
    <row r="7" spans="1:2" x14ac:dyDescent="0.25">
      <c r="A7" s="6" t="s">
        <v>233</v>
      </c>
      <c r="B7" s="6" t="s">
        <v>234</v>
      </c>
    </row>
    <row r="8" spans="1:2" x14ac:dyDescent="0.25">
      <c r="A8" s="6" t="s">
        <v>235</v>
      </c>
      <c r="B8" s="6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현금흐름표</vt:lpstr>
      <vt:lpstr>업로드용_키값</vt:lpstr>
      <vt:lpstr>부록_기간별현금흐름</vt:lpstr>
      <vt:lpstr>작성가이드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samsung-youngcreator-PB</dc:creator>
  <dc:title/>
  <dc:subject/>
  <dc:description/>
  <cp:keywords/>
  <cp:category/>
  <cp:lastModifiedBy>Unknown</cp:lastModifiedBy>
  <dcterms:created xsi:type="dcterms:W3CDTF">2026-06-22T08:24:39Z</dcterms:created>
  <dcterms:modified xsi:type="dcterms:W3CDTF">2026-06-22T08:24:39Z</dcterms:modified>
</cp:coreProperties>
</file>